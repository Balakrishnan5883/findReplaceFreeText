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Projects\C# Projects\Control PDF\FindReplaceFreeText\Sample\"/>
    </mc:Choice>
  </mc:AlternateContent>
  <xr:revisionPtr revIDLastSave="0" documentId="13_ncr:1_{CE418F93-BB6A-4097-8596-2F4D1B17DBC1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UserForm" sheetId="1" r:id="rId1"/>
    <sheet name="Configuration" sheetId="2" r:id="rId2"/>
  </sheets>
  <functionGroups builtInGroupCount="19"/>
  <definedNames>
    <definedName name="Depth">UserForm!$C$8</definedName>
    <definedName name="EXE_PATH">Configuration!$L$2</definedName>
    <definedName name="Height">UserForm!$C$6</definedName>
    <definedName name="OutputFolderPath">UserForm!$C$10</definedName>
    <definedName name="Quantity">UserForm!$C$9</definedName>
    <definedName name="QuoteNo">UserForm!$C$5</definedName>
    <definedName name="SourcePdfPath">Configuration!$L$3</definedName>
    <definedName name="Thickness">Configuration!$L$4</definedName>
    <definedName name="Width">UserForm!$C$7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D4" i="2"/>
  <c r="H33" i="2" l="1"/>
  <c r="H29" i="2"/>
  <c r="H27" i="2"/>
  <c r="H26" i="2"/>
  <c r="H25" i="2"/>
  <c r="H24" i="2"/>
  <c r="L6" i="2"/>
  <c r="H23" i="2"/>
  <c r="H18" i="2"/>
  <c r="H12" i="2"/>
  <c r="H22" i="2"/>
  <c r="D3" i="2" s="1"/>
  <c r="H21" i="2"/>
  <c r="H20" i="2"/>
  <c r="H19" i="2"/>
  <c r="H17" i="2"/>
  <c r="H16" i="2"/>
  <c r="H15" i="2"/>
  <c r="H14" i="2"/>
  <c r="H13" i="2"/>
  <c r="H10" i="2"/>
  <c r="H9" i="2"/>
  <c r="H8" i="2"/>
  <c r="L5" i="2" s="1"/>
  <c r="H11" i="2"/>
  <c r="H28" i="2" l="1"/>
  <c r="L8" i="2"/>
  <c r="L9" i="2" l="1"/>
  <c r="L11" i="2" s="1"/>
  <c r="H30" i="2"/>
  <c r="H32" i="2" l="1"/>
  <c r="H31" i="2"/>
</calcChain>
</file>

<file path=xl/sharedStrings.xml><?xml version="1.0" encoding="utf-8"?>
<sst xmlns="http://schemas.openxmlformats.org/spreadsheetml/2006/main" count="55" uniqueCount="54">
  <si>
    <t>id</t>
  </si>
  <si>
    <t>Source pdf path</t>
  </si>
  <si>
    <t>Destination path</t>
  </si>
  <si>
    <t>Quote No.</t>
  </si>
  <si>
    <t>Height</t>
  </si>
  <si>
    <t>Width</t>
  </si>
  <si>
    <t>Thickness</t>
  </si>
  <si>
    <t>Quantity</t>
  </si>
  <si>
    <t>PDF Id</t>
  </si>
  <si>
    <t>Find Text</t>
  </si>
  <si>
    <t>Replace Text</t>
  </si>
  <si>
    <t>STACK_X</t>
  </si>
  <si>
    <t>STACK_Y</t>
  </si>
  <si>
    <t>STACK_Z</t>
  </si>
  <si>
    <t>STACK_DN</t>
  </si>
  <si>
    <t>BASE_X</t>
  </si>
  <si>
    <t>BASE_Y</t>
  </si>
  <si>
    <t>BASE_Z</t>
  </si>
  <si>
    <t>BASE_DN</t>
  </si>
  <si>
    <t>SHELF_X</t>
  </si>
  <si>
    <t>SHELF_DN</t>
  </si>
  <si>
    <t>SHELF_H</t>
  </si>
  <si>
    <t>SHELF_Y</t>
  </si>
  <si>
    <t>Depth</t>
  </si>
  <si>
    <t>BASE_L</t>
  </si>
  <si>
    <t>Field</t>
  </si>
  <si>
    <t>Value</t>
  </si>
  <si>
    <t>Output Folder Path</t>
  </si>
  <si>
    <t>Source PDF path</t>
  </si>
  <si>
    <t>STACK_QTY</t>
  </si>
  <si>
    <t>BASE_QTY</t>
  </si>
  <si>
    <t>SHELF_QTY</t>
  </si>
  <si>
    <t>Base Volume</t>
  </si>
  <si>
    <t>Stack Volume</t>
  </si>
  <si>
    <t>Cu.m</t>
  </si>
  <si>
    <t>Cost per Cu.m</t>
  </si>
  <si>
    <t>Unit Cost</t>
  </si>
  <si>
    <t>Total Cost</t>
  </si>
  <si>
    <t>Grand Total Cost</t>
  </si>
  <si>
    <t>QUOTE_NO</t>
  </si>
  <si>
    <t>HEIGHT</t>
  </si>
  <si>
    <t>WIDTH</t>
  </si>
  <si>
    <t>DEPTH</t>
  </si>
  <si>
    <t>VOLUME</t>
  </si>
  <si>
    <t>QTY</t>
  </si>
  <si>
    <t>UNIT_COST</t>
  </si>
  <si>
    <t>TOTAL_COST</t>
  </si>
  <si>
    <t>GRAND_TOTAL</t>
  </si>
  <si>
    <t>tax</t>
  </si>
  <si>
    <t>C:\Users\balak\AppData\Local\Temp\DotNetBuilds\findReplaceFreeText\bin\Release\net10.0\publish\findReplaceFreeText.exe</t>
  </si>
  <si>
    <t>C:\Users\balak\AppData\Local\Temp\DotNetBuilds\findReplaceFreeText</t>
  </si>
  <si>
    <t>TAX</t>
  </si>
  <si>
    <t>Console App Exe Path</t>
  </si>
  <si>
    <t>G:\My Drive\Projects\C# Projects\Control PDF\FindReplaceFreeText\Sample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</si>
</sst>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425450</xdr:colOff>
          <xdr:row>5</xdr:row>
          <xdr:rowOff>101600</xdr:rowOff>
        </xdr:from>
        <xdr:to>
          <xdr:col>6</xdr:col>
          <xdr:colOff>533400</xdr:colOff>
          <xdr:row>8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4:C10" totalsRowShown="0">
  <autoFilter ref="B4:C10" xr:uid="{00000000-0009-0000-0100-000003000000}"/>
  <tableColumns count="2">
    <tableColumn id="1" xr3:uid="{00000000-0010-0000-0000-000001000000}" name="Field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PDFs" displayName="TablePDFs" ref="B2:D4" totalsRowShown="0">
  <autoFilter ref="B2:D4" xr:uid="{00000000-0009-0000-0100-000001000000}"/>
  <tableColumns count="3">
    <tableColumn id="1" xr3:uid="{00000000-0010-0000-0100-000001000000}" name="id"/>
    <tableColumn id="2" xr3:uid="{00000000-0010-0000-0100-000002000000}" name="Source pdf path" dataDxfId="1">
      <calculatedColumnFormula>CONCATENATE(SourcePdfPath,"\","Quotation.pdf")</calculatedColumnFormula>
    </tableColumn>
    <tableColumn id="3" xr3:uid="{00000000-0010-0000-0100-000003000000}" name="Destination path">
      <calculatedColumnFormula>_xlfn.CONCAT(OutputFolderPath,"\",H22,".pdf")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Replacements" displayName="TableReplacements" ref="F7:H33" totalsRowShown="0">
  <autoFilter ref="F7:H33" xr:uid="{00000000-0009-0000-0100-000002000000}"/>
  <tableColumns count="3">
    <tableColumn id="1" xr3:uid="{00000000-0010-0000-0200-000001000000}" name="PDF Id"/>
    <tableColumn id="2" xr3:uid="{00000000-0010-0000-0200-000002000000}" name="Find Text"/>
    <tableColumn id="3" xr3:uid="{00000000-0010-0000-0200-000003000000}" name="Replace Text" dataDxfId="0">
      <calculatedColumnFormula>20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C10"/>
  <sheetViews>
    <sheetView tabSelected="1" workbookViewId="0">
      <selection activeCell="C10" sqref="C10"/>
    </sheetView>
  </sheetViews>
  <sheetFormatPr defaultRowHeight="14.5" x14ac:dyDescent="0.35"/>
  <cols>
    <col min="2" max="2" width="16.08984375" bestFit="1" customWidth="1"/>
    <col min="3" max="3" width="60.36328125" bestFit="1" customWidth="1"/>
  </cols>
  <sheetData>
    <row r="4" spans="2:3" x14ac:dyDescent="0.35">
      <c r="B4" t="s">
        <v>25</v>
      </c>
      <c r="C4" t="s">
        <v>26</v>
      </c>
    </row>
    <row r="5" spans="2:3" x14ac:dyDescent="0.35">
      <c r="B5" t="s">
        <v>3</v>
      </c>
      <c r="C5">
        <v>43221</v>
      </c>
    </row>
    <row r="6" spans="2:3" x14ac:dyDescent="0.35">
      <c r="B6" t="s">
        <v>4</v>
      </c>
      <c r="C6">
        <v>7564</v>
      </c>
    </row>
    <row r="7" spans="2:3" x14ac:dyDescent="0.35">
      <c r="B7" t="s">
        <v>5</v>
      </c>
      <c r="C7">
        <v>4564</v>
      </c>
    </row>
    <row r="8" spans="2:3" x14ac:dyDescent="0.35">
      <c r="B8" t="s">
        <v>23</v>
      </c>
      <c r="C8">
        <v>1345</v>
      </c>
    </row>
    <row r="9" spans="2:3" x14ac:dyDescent="0.35">
      <c r="B9" t="s">
        <v>7</v>
      </c>
      <c r="C9">
        <v>6</v>
      </c>
    </row>
    <row r="10" spans="2:3" x14ac:dyDescent="0.35">
      <c r="B10" t="s">
        <v>27</v>
      </c>
      <c r="C10" t="s">
        <v>50</v>
      </c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PDFReplacementProcess">
                <anchor moveWithCells="1" sizeWithCells="1">
                  <from>
                    <xdr:col>4</xdr:col>
                    <xdr:colOff>425450</xdr:colOff>
                    <xdr:row>5</xdr:row>
                    <xdr:rowOff>101600</xdr:rowOff>
                  </from>
                  <to>
                    <xdr:col>6</xdr:col>
                    <xdr:colOff>533400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M33"/>
  <sheetViews>
    <sheetView workbookViewId="0">
      <selection activeCell="L3" sqref="L3"/>
    </sheetView>
  </sheetViews>
  <sheetFormatPr defaultRowHeight="14.5" x14ac:dyDescent="0.35"/>
  <cols>
    <col min="2" max="2" width="4.7265625" bestFit="1" customWidth="1"/>
    <col min="3" max="3" width="75.36328125" bestFit="1" customWidth="1"/>
    <col min="4" max="4" width="53.26953125" bestFit="1" customWidth="1"/>
    <col min="6" max="6" width="8.453125" bestFit="1" customWidth="1"/>
    <col min="7" max="7" width="16.08984375" bestFit="1" customWidth="1"/>
    <col min="8" max="8" width="13.453125" customWidth="1"/>
    <col min="11" max="11" width="18.36328125" bestFit="1" customWidth="1"/>
    <col min="12" max="12" width="11.453125" bestFit="1" customWidth="1"/>
  </cols>
  <sheetData>
    <row r="2" spans="2:13" x14ac:dyDescent="0.35">
      <c r="B2" t="s">
        <v>0</v>
      </c>
      <c r="C2" t="s">
        <v>1</v>
      </c>
      <c r="D2" t="s">
        <v>2</v>
      </c>
      <c r="K2" t="s">
        <v>52</v>
      </c>
      <c r="L2" t="s">
        <v>49</v>
      </c>
    </row>
    <row r="3" spans="2:13" x14ac:dyDescent="0.35">
      <c r="B3">
        <v>1</v>
      </c>
      <c r="C3" t="str">
        <f>CONCATENATE(SourcePdfPath,"\","Drawings.pdf")</f>
        <v>G:\My Drive\Projects\C# Projects\Control PDF\FindReplaceFreeText\Sample\Drawings.pdf</v>
      </c>
      <c r="D3" t="str">
        <f>CONCATENATE(OutputFolderPath,"\",H22,".pdf")</f>
        <v>C:\Users\balak\AppData\Local\Temp\DotNetBuilds\findReplaceFreeText\DN43221.pdf</v>
      </c>
      <c r="K3" t="s">
        <v>28</v>
      </c>
      <c r="L3" t="s">
        <v>53</v>
      </c>
    </row>
    <row r="4" spans="2:13" x14ac:dyDescent="0.35">
      <c r="B4">
        <v>2</v>
      </c>
      <c r="C4" t="str">
        <f>CONCATENATE(SourcePdfPath,"\","Quotation.pdf")</f>
        <v>G:\My Drive\Projects\C# Projects\Control PDF\FindReplaceFreeText\Sample\Quotation.pdf</v>
      </c>
      <c r="D4" t="str">
        <f>CONCATENATE(OutputFolderPath,"\",QuoteNo,".pdf")</f>
        <v>C:\Users\balak\AppData\Local\Temp\DotNetBuilds\findReplaceFreeText\43221.pdf</v>
      </c>
      <c r="K4" t="s">
        <v>6</v>
      </c>
      <c r="L4">
        <v>20</v>
      </c>
    </row>
    <row r="5" spans="2:13" x14ac:dyDescent="0.35">
      <c r="K5" t="s">
        <v>33</v>
      </c>
      <c r="L5">
        <f>H8*H9*H10/10^9</f>
        <v>0.11988600000000001</v>
      </c>
      <c r="M5" t="s">
        <v>34</v>
      </c>
    </row>
    <row r="6" spans="2:13" x14ac:dyDescent="0.35">
      <c r="K6" t="s">
        <v>32</v>
      </c>
      <c r="L6">
        <f>((Height*Width*Depth)-((Height-Thickness)*(Width-Thickness)*(Depth-Thickness)))/10^9</f>
        <v>1.01130392</v>
      </c>
      <c r="M6" t="s">
        <v>34</v>
      </c>
    </row>
    <row r="7" spans="2:13" x14ac:dyDescent="0.35">
      <c r="F7" t="s">
        <v>8</v>
      </c>
      <c r="G7" t="s">
        <v>9</v>
      </c>
      <c r="H7" t="s">
        <v>10</v>
      </c>
      <c r="K7" t="s">
        <v>35</v>
      </c>
      <c r="L7">
        <v>1000</v>
      </c>
    </row>
    <row r="8" spans="2:13" x14ac:dyDescent="0.35">
      <c r="F8">
        <v>1</v>
      </c>
      <c r="G8" t="s">
        <v>11</v>
      </c>
      <c r="H8">
        <f>Thickness</f>
        <v>20</v>
      </c>
      <c r="K8" t="s">
        <v>36</v>
      </c>
      <c r="L8">
        <f>L7*(L6+L5)</f>
        <v>1131.18992</v>
      </c>
    </row>
    <row r="9" spans="2:13" x14ac:dyDescent="0.35">
      <c r="F9">
        <v>1</v>
      </c>
      <c r="G9" t="s">
        <v>12</v>
      </c>
      <c r="H9">
        <f>Width-(2*Thickness)</f>
        <v>4524</v>
      </c>
      <c r="K9" t="s">
        <v>37</v>
      </c>
      <c r="L9">
        <f>L8*Quantity</f>
        <v>6787.1395200000006</v>
      </c>
    </row>
    <row r="10" spans="2:13" x14ac:dyDescent="0.35">
      <c r="F10">
        <v>1</v>
      </c>
      <c r="G10" t="s">
        <v>13</v>
      </c>
      <c r="H10">
        <f>Depth-Thickness</f>
        <v>1325</v>
      </c>
      <c r="K10" t="s">
        <v>48</v>
      </c>
      <c r="L10" s="1">
        <v>0.08</v>
      </c>
    </row>
    <row r="11" spans="2:13" x14ac:dyDescent="0.35">
      <c r="F11">
        <v>1</v>
      </c>
      <c r="G11" t="s">
        <v>14</v>
      </c>
      <c r="H11" t="str">
        <f>_xlfn.CONCAT("DN",QuoteNo,"-03")</f>
        <v>DN43221-03</v>
      </c>
      <c r="K11" t="s">
        <v>38</v>
      </c>
      <c r="L11">
        <f>ROUNDDOWN(L9+(L9*L10),0)</f>
        <v>7330</v>
      </c>
    </row>
    <row r="12" spans="2:13" x14ac:dyDescent="0.35">
      <c r="F12">
        <v>1</v>
      </c>
      <c r="G12" t="s">
        <v>29</v>
      </c>
      <c r="H12">
        <f>Quantity*3</f>
        <v>18</v>
      </c>
    </row>
    <row r="13" spans="2:13" x14ac:dyDescent="0.35">
      <c r="F13">
        <v>1</v>
      </c>
      <c r="G13" t="s">
        <v>15</v>
      </c>
      <c r="H13">
        <f>Width</f>
        <v>4564</v>
      </c>
    </row>
    <row r="14" spans="2:13" x14ac:dyDescent="0.35">
      <c r="F14">
        <v>1</v>
      </c>
      <c r="G14" t="s">
        <v>16</v>
      </c>
      <c r="H14">
        <f>Depth</f>
        <v>1345</v>
      </c>
    </row>
    <row r="15" spans="2:13" x14ac:dyDescent="0.35">
      <c r="F15">
        <v>1</v>
      </c>
      <c r="G15" t="s">
        <v>17</v>
      </c>
      <c r="H15">
        <f>Thickness</f>
        <v>20</v>
      </c>
    </row>
    <row r="16" spans="2:13" x14ac:dyDescent="0.35">
      <c r="F16">
        <v>1</v>
      </c>
      <c r="G16" t="s">
        <v>24</v>
      </c>
      <c r="H16">
        <f>Height</f>
        <v>7564</v>
      </c>
    </row>
    <row r="17" spans="6:8" x14ac:dyDescent="0.35">
      <c r="F17">
        <v>1</v>
      </c>
      <c r="G17" t="s">
        <v>18</v>
      </c>
      <c r="H17" t="str">
        <f>_xlfn.CONCAT("DN",QuoteNo,"-02")</f>
        <v>DN43221-02</v>
      </c>
    </row>
    <row r="18" spans="6:8" x14ac:dyDescent="0.35">
      <c r="F18">
        <v>1</v>
      </c>
      <c r="G18" t="s">
        <v>30</v>
      </c>
      <c r="H18">
        <f>Quantity</f>
        <v>6</v>
      </c>
    </row>
    <row r="19" spans="6:8" x14ac:dyDescent="0.35">
      <c r="F19">
        <v>1</v>
      </c>
      <c r="G19" t="s">
        <v>19</v>
      </c>
      <c r="H19">
        <f>(Height-(2*Thickness))/4</f>
        <v>1881</v>
      </c>
    </row>
    <row r="20" spans="6:8" x14ac:dyDescent="0.35">
      <c r="F20">
        <v>1</v>
      </c>
      <c r="G20" t="s">
        <v>22</v>
      </c>
      <c r="H20">
        <f>Width</f>
        <v>4564</v>
      </c>
    </row>
    <row r="21" spans="6:8" x14ac:dyDescent="0.35">
      <c r="F21">
        <v>1</v>
      </c>
      <c r="G21" t="s">
        <v>21</v>
      </c>
      <c r="H21">
        <f>Height</f>
        <v>7564</v>
      </c>
    </row>
    <row r="22" spans="6:8" x14ac:dyDescent="0.35">
      <c r="F22">
        <v>1</v>
      </c>
      <c r="G22" t="s">
        <v>20</v>
      </c>
      <c r="H22" t="str">
        <f>_xlfn.CONCAT("DN",QuoteNo)</f>
        <v>DN43221</v>
      </c>
    </row>
    <row r="23" spans="6:8" x14ac:dyDescent="0.35">
      <c r="F23">
        <v>1</v>
      </c>
      <c r="G23" t="s">
        <v>31</v>
      </c>
      <c r="H23">
        <f>Quantity</f>
        <v>6</v>
      </c>
    </row>
    <row r="24" spans="6:8" x14ac:dyDescent="0.35">
      <c r="F24">
        <v>2</v>
      </c>
      <c r="G24" t="s">
        <v>39</v>
      </c>
      <c r="H24">
        <f>QuoteNo</f>
        <v>43221</v>
      </c>
    </row>
    <row r="25" spans="6:8" x14ac:dyDescent="0.35">
      <c r="F25">
        <v>2</v>
      </c>
      <c r="G25" t="s">
        <v>40</v>
      </c>
      <c r="H25">
        <f>Height</f>
        <v>7564</v>
      </c>
    </row>
    <row r="26" spans="6:8" x14ac:dyDescent="0.35">
      <c r="F26">
        <v>2</v>
      </c>
      <c r="G26" t="s">
        <v>41</v>
      </c>
      <c r="H26">
        <f>Width</f>
        <v>4564</v>
      </c>
    </row>
    <row r="27" spans="6:8" x14ac:dyDescent="0.35">
      <c r="F27">
        <v>2</v>
      </c>
      <c r="G27" t="s">
        <v>42</v>
      </c>
      <c r="H27">
        <f>Depth</f>
        <v>1345</v>
      </c>
    </row>
    <row r="28" spans="6:8" x14ac:dyDescent="0.35">
      <c r="F28">
        <v>2</v>
      </c>
      <c r="G28" t="s">
        <v>43</v>
      </c>
      <c r="H28">
        <f>L6</f>
        <v>1.01130392</v>
      </c>
    </row>
    <row r="29" spans="6:8" x14ac:dyDescent="0.35">
      <c r="F29">
        <v>2</v>
      </c>
      <c r="G29" t="s">
        <v>44</v>
      </c>
      <c r="H29">
        <f>Quantity</f>
        <v>6</v>
      </c>
    </row>
    <row r="30" spans="6:8" x14ac:dyDescent="0.35">
      <c r="F30">
        <v>2</v>
      </c>
      <c r="G30" t="s">
        <v>45</v>
      </c>
      <c r="H30">
        <f>L8</f>
        <v>1131.18992</v>
      </c>
    </row>
    <row r="31" spans="6:8" x14ac:dyDescent="0.35">
      <c r="F31">
        <v>2</v>
      </c>
      <c r="G31" t="s">
        <v>46</v>
      </c>
      <c r="H31">
        <f>L9</f>
        <v>6787.1395200000006</v>
      </c>
    </row>
    <row r="32" spans="6:8" x14ac:dyDescent="0.35">
      <c r="F32">
        <v>2</v>
      </c>
      <c r="G32" t="s">
        <v>47</v>
      </c>
      <c r="H32">
        <f>L11</f>
        <v>7330</v>
      </c>
    </row>
    <row r="33" spans="6:8" x14ac:dyDescent="0.35">
      <c r="F33">
        <v>2</v>
      </c>
      <c r="G33" t="s">
        <v>51</v>
      </c>
      <c r="H33" s="1">
        <f>L10</f>
        <v>0.08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UserForm</vt:lpstr>
      <vt:lpstr>Configuration</vt:lpstr>
      <vt:lpstr>Depth</vt:lpstr>
      <vt:lpstr>EXE_PATH</vt:lpstr>
      <vt:lpstr>Height</vt:lpstr>
      <vt:lpstr>OutputFolderPath</vt:lpstr>
      <vt:lpstr>Quantity</vt:lpstr>
      <vt:lpstr>QuoteNo</vt:lpstr>
      <vt:lpstr>SourcePdfPath</vt:lpstr>
      <vt:lpstr>Thickness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dcterms:created xsi:type="dcterms:W3CDTF">2026-05-15T20:19:10Z</dcterms:created>
  <dcterms:modified xsi:type="dcterms:W3CDTF">2026-05-23T14:36:56Z</dcterms:modified>
</cp:coreProperties>
</file>